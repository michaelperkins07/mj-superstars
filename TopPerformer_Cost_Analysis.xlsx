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Unit Economics" sheetId="2" state="visible" r:id="rId4"/>
    <sheet name="Break-Even Analysis" sheetId="3" state="visible" r:id="rId5"/>
    <sheet name="Cost Optimization" sheetId="4" state="visible" r:id="rId6"/>
    <sheet name="Business Entity &amp; I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<sst xmlns="http://schemas.openxmlformats.org/spreadsheetml/2006/main" count="321" uniqueCount="282">
  <si>
    <t xml:space="preserve">TOP PERFORMER — EXECUTIVE COST SUMMARY</t>
  </si>
  <si>
    <t xml:space="preserve">KEY METRICS</t>
  </si>
  <si>
    <t xml:space="preserve">Amount</t>
  </si>
  <si>
    <t xml:space="preserve">Source</t>
  </si>
  <si>
    <t xml:space="preserve">Elite Subscription Price</t>
  </si>
  <si>
    <t xml:space="preserve">Monthly price</t>
  </si>
  <si>
    <t xml:space="preserve">Your Revenue After Apple (Year 1)</t>
  </si>
  <si>
    <t xml:space="preserve">After 30% commission</t>
  </si>
  <si>
    <t xml:space="preserve">Claude API Cost Per User Per Month</t>
  </si>
  <si>
    <t xml:space="preserve">Based on avg usage</t>
  </si>
  <si>
    <t xml:space="preserve">Gross Profit Per User Per Month</t>
  </si>
  <si>
    <t xml:space="preserve">Revenue minus API</t>
  </si>
  <si>
    <t xml:space="preserve">MONTHLY INFRASTRUCTURE</t>
  </si>
  <si>
    <t xml:space="preserve">Total Fixed Costs (starter tier)</t>
  </si>
  <si>
    <t xml:space="preserve">Render + services</t>
  </si>
  <si>
    <t xml:space="preserve">★ BREAK-EVEN</t>
  </si>
  <si>
    <t xml:space="preserve">Paying subscribers needed to break even</t>
  </si>
  <si>
    <t xml:space="preserve">At current fixed costs and per-user margins</t>
  </si>
  <si>
    <t xml:space="preserve">MONTHLY P&amp;L AT KEY MILESTONES</t>
  </si>
  <si>
    <t xml:space="preserve">Net Profit at 100 subscribers</t>
  </si>
  <si>
    <t xml:space="preserve">Net Profit at 500 subscribers</t>
  </si>
  <si>
    <t xml:space="preserve">Net Profit at 1,000 subscribers</t>
  </si>
  <si>
    <t xml:space="preserve">BUSINESS ENTITY RECOMMENDATION</t>
  </si>
  <si>
    <t xml:space="preserve">Start as Single-Member LLC (~$100-300 to form). Elect S-Corp when net profit exceeds $50K/yr to save $2K-10K/yr in self-employment taxes.</t>
  </si>
  <si>
    <t xml:space="preserve">IP PROTECTION — IMMEDIATE ACTIONS</t>
  </si>
  <si>
    <t xml:space="preserve">1. File LLC in your state ($50-300)</t>
  </si>
  <si>
    <t xml:space="preserve">2. File 'Top Performer' trademark via USPTO TEAS Plus ($250-350)</t>
  </si>
  <si>
    <t xml:space="preserve">3. Register topperformer.app domain ($12-15)</t>
  </si>
  <si>
    <t xml:space="preserve">4. Secure @topperformer on all social platforms ($0)</t>
  </si>
  <si>
    <t xml:space="preserve">5. Register Content Bible copyright with US Copyright Office ($65)</t>
  </si>
  <si>
    <t xml:space="preserve">6. Add © 2026 Top Performer LLC to app footer ($0)</t>
  </si>
  <si>
    <t xml:space="preserve">7. Mark Content Bible + system prompt as CONFIDENTIAL trade secrets ($0)</t>
  </si>
  <si>
    <t xml:space="preserve">8. Apply for Apple Small Business Program to reduce commission to 15%</t>
  </si>
  <si>
    <t xml:space="preserve">TOP PERFORMER — UNIT ECONOMICS &amp; COST ANALYSIS</t>
  </si>
  <si>
    <t xml:space="preserve">All blue values are editable assumptions. Black values are calculated.</t>
  </si>
  <si>
    <t xml:space="preserve">REVENUE PER SUBSCRIBER</t>
  </si>
  <si>
    <t xml:space="preserve">Value</t>
  </si>
  <si>
    <t xml:space="preserve">Notes</t>
  </si>
  <si>
    <t xml:space="preserve">Elite Monthly Price</t>
  </si>
  <si>
    <t xml:space="preserve">User-facing price</t>
  </si>
  <si>
    <t xml:space="preserve">Apple Commission Rate (Year 1)</t>
  </si>
  <si>
    <t xml:space="preserve">Standard 30% cut</t>
  </si>
  <si>
    <t xml:space="preserve">Apple Commission Rate (Year 2+)</t>
  </si>
  <si>
    <t xml:space="preserve">Small Business Program (&lt;$1M rev)</t>
  </si>
  <si>
    <t xml:space="preserve">Net Revenue Per Sub (Year 1)</t>
  </si>
  <si>
    <t xml:space="preserve">After Apple's 30%</t>
  </si>
  <si>
    <t xml:space="preserve">Net Revenue Per Sub (Year 2+)</t>
  </si>
  <si>
    <t xml:space="preserve">After Apple's 15%</t>
  </si>
  <si>
    <t xml:space="preserve">First Month Free Cost (forgone rev)</t>
  </si>
  <si>
    <t xml:space="preserve">Revenue you don't collect month 1</t>
  </si>
  <si>
    <t xml:space="preserve">Effective Monthly Rev (if retained 12mo)</t>
  </si>
  <si>
    <t xml:space="preserve">Net rev × 11/12 (free month spread)</t>
  </si>
  <si>
    <t xml:space="preserve">CLAUDE API COSTS</t>
  </si>
  <si>
    <t xml:space="preserve">Model</t>
  </si>
  <si>
    <t xml:space="preserve">claude-sonnet-4</t>
  </si>
  <si>
    <t xml:space="preserve">From claude.js config</t>
  </si>
  <si>
    <t xml:space="preserve">Input Price (per 1M tokens)</t>
  </si>
  <si>
    <t xml:space="preserve">Sonnet 4 pricing</t>
  </si>
  <si>
    <t xml:space="preserve">Output Price (per 1M tokens)</t>
  </si>
  <si>
    <t xml:space="preserve">System Prompt Size (tokens)</t>
  </si>
  <si>
    <t xml:space="preserve">~64,658 chars from buildSystemPrompt()</t>
  </si>
  <si>
    <t xml:space="preserve">Avg User Message (tokens)</t>
  </si>
  <si>
    <t xml:space="preserve">Typical user coaching question</t>
  </si>
  <si>
    <t xml:space="preserve">Avg History Context (tokens)</t>
  </si>
  <si>
    <t xml:space="preserve">~20 msgs × 200 tokens avg</t>
  </si>
  <si>
    <t xml:space="preserve">Max Output Tokens</t>
  </si>
  <si>
    <t xml:space="preserve">From claude.js MAX_TOKENS</t>
  </si>
  <si>
    <t xml:space="preserve">Avg Actual Output (tokens)</t>
  </si>
  <si>
    <t xml:space="preserve">Typical coaching response</t>
  </si>
  <si>
    <t xml:space="preserve">Prompt Cache Hit Rate</t>
  </si>
  <si>
    <t xml:space="preserve">System prompt cached across convos</t>
  </si>
  <si>
    <t xml:space="preserve">Prompt Cache Discount</t>
  </si>
  <si>
    <t xml:space="preserve">Cached tokens cost 10% of normal</t>
  </si>
  <si>
    <t xml:space="preserve">--- PER CONVERSATION ---</t>
  </si>
  <si>
    <t xml:space="preserve">Total Input Tokens</t>
  </si>
  <si>
    <t xml:space="preserve">System + history + user msg</t>
  </si>
  <si>
    <t xml:space="preserve">Effective Input Cost / Conversation</t>
  </si>
  <si>
    <t xml:space="preserve">With prompt caching on system prompt</t>
  </si>
  <si>
    <t xml:space="preserve">Output Cost / Conversation</t>
  </si>
  <si>
    <t xml:space="preserve">Avg output tokens × output price</t>
  </si>
  <si>
    <t xml:space="preserve">Total API Cost / Conversation</t>
  </si>
  <si>
    <t xml:space="preserve">Input + Output</t>
  </si>
  <si>
    <t xml:space="preserve">--- PER USER / MONTH ---</t>
  </si>
  <si>
    <t xml:space="preserve">Avg Conversations / User / Day</t>
  </si>
  <si>
    <t xml:space="preserve">Active coaching user estimate</t>
  </si>
  <si>
    <t xml:space="preserve">Avg Messages / Conversation</t>
  </si>
  <si>
    <t xml:space="preserve">Back-and-forth exchanges</t>
  </si>
  <si>
    <t xml:space="preserve">API Calls / User / Month</t>
  </si>
  <si>
    <t xml:space="preserve">Convos × messages × 30 days</t>
  </si>
  <si>
    <t xml:space="preserve">Claude API Cost / User / Month</t>
  </si>
  <si>
    <t xml:space="preserve">API calls × cost per call</t>
  </si>
  <si>
    <t xml:space="preserve">--- GROSS MARGIN ---</t>
  </si>
  <si>
    <t xml:space="preserve">Net Revenue / User / Month (Yr1)</t>
  </si>
  <si>
    <t xml:space="preserve">API Cost / User / Month</t>
  </si>
  <si>
    <t xml:space="preserve">Gross Profit / User / Month</t>
  </si>
  <si>
    <t xml:space="preserve">Net rev minus API cost</t>
  </si>
  <si>
    <t xml:space="preserve">Gross Margin %</t>
  </si>
  <si>
    <t xml:space="preserve">BREAK-EVEN ANALYSIS — MONTHLY P&amp;L AT SCALE</t>
  </si>
  <si>
    <t xml:space="preserve">50 Users</t>
  </si>
  <si>
    <t xml:space="preserve">100 Users</t>
  </si>
  <si>
    <t xml:space="preserve">250 Users</t>
  </si>
  <si>
    <t xml:space="preserve">500 Users</t>
  </si>
  <si>
    <t xml:space="preserve">1,000 Users</t>
  </si>
  <si>
    <t xml:space="preserve">5,000 Users</t>
  </si>
  <si>
    <t xml:space="preserve">FIXED COSTS (MONTHLY)</t>
  </si>
  <si>
    <t xml:space="preserve">Render Web Service (Backend)</t>
  </si>
  <si>
    <t xml:space="preserve">Render Static Site (Frontend)</t>
  </si>
  <si>
    <t xml:space="preserve">Render PostgreSQL</t>
  </si>
  <si>
    <t xml:space="preserve">Render Redis</t>
  </si>
  <si>
    <t xml:space="preserve">Render Workspace (Professional)</t>
  </si>
  <si>
    <t xml:space="preserve">Sentry Error Tracking</t>
  </si>
  <si>
    <t xml:space="preserve">Mixpanel Analytics</t>
  </si>
  <si>
    <t xml:space="preserve">Apple Developer Account</t>
  </si>
  <si>
    <t xml:space="preserve">Domain + DNS</t>
  </si>
  <si>
    <t xml:space="preserve">Misc (backups, monitoring)</t>
  </si>
  <si>
    <t xml:space="preserve">Render Upgrade (Standard → Pro @ 500+)</t>
  </si>
  <si>
    <t xml:space="preserve">DB Upgrade (1GB → 4GB @ 1000+)</t>
  </si>
  <si>
    <t xml:space="preserve">TOTAL FIXED COSTS</t>
  </si>
  <si>
    <t xml:space="preserve">VARIABLE COSTS (MONTHLY)</t>
  </si>
  <si>
    <t xml:space="preserve">Paying Users (assume 100% of total)</t>
  </si>
  <si>
    <t xml:space="preserve">TOTAL VARIABLE COSTS</t>
  </si>
  <si>
    <t xml:space="preserve">REVENUE (MONTHLY)</t>
  </si>
  <si>
    <t xml:space="preserve">Net Revenue / User / Month</t>
  </si>
  <si>
    <t xml:space="preserve">TOTAL REVENUE</t>
  </si>
  <si>
    <t xml:space="preserve">NET PROFIT / LOSS (MONTHLY)</t>
  </si>
  <si>
    <t xml:space="preserve">Total Revenue</t>
  </si>
  <si>
    <t xml:space="preserve">Total Fixed Costs</t>
  </si>
  <si>
    <t xml:space="preserve">Total Variable Costs</t>
  </si>
  <si>
    <t xml:space="preserve">MONTHLY NET PROFIT / (LOSS)</t>
  </si>
  <si>
    <t xml:space="preserve">Net Margin %</t>
  </si>
  <si>
    <t xml:space="preserve">BREAK-EVEN POINT</t>
  </si>
  <si>
    <t xml:space="preserve">Fixed Costs (current tier)</t>
  </si>
  <si>
    <t xml:space="preserve">Contribution Margin / User</t>
  </si>
  <si>
    <t xml:space="preserve">Net rev minus variable cost per user</t>
  </si>
  <si>
    <t xml:space="preserve">★ BREAK-EVEN: PAYING SUBSCRIBERS NEEDED</t>
  </si>
  <si>
    <t xml:space="preserve">COST OPTIMIZATION STRATEGIES</t>
  </si>
  <si>
    <t xml:space="preserve">API COST REDUCTION</t>
  </si>
  <si>
    <t xml:space="preserve">Switch to Claude 3.5 Haiku for simple queries</t>
  </si>
  <si>
    <t xml:space="preserve">50-70% savings</t>
  </si>
  <si>
    <t xml:space="preserve">Route greetings, mood logs, simple Qs to Haiku ($1/$5 per MTok)</t>
  </si>
  <si>
    <t xml:space="preserve">Enable prompt caching</t>
  </si>
  <si>
    <t xml:space="preserve">Up to 90% on system prompt</t>
  </si>
  <si>
    <t xml:space="preserve">Cache the 16K-token system prompt; only pay 10% on cache hits</t>
  </si>
  <si>
    <t xml:space="preserve">Reduce system prompt size</t>
  </si>
  <si>
    <t xml:space="preserve">20-40% savings</t>
  </si>
  <si>
    <t xml:space="preserve">Trim from 16K to 8-10K tokens; remove redundant instructions</t>
  </si>
  <si>
    <t xml:space="preserve">Shorten conversation history</t>
  </si>
  <si>
    <t xml:space="preserve">15-25% savings</t>
  </si>
  <si>
    <t xml:space="preserve">Send last 10 messages instead of 20; summarize older context</t>
  </si>
  <si>
    <t xml:space="preserve">Lower max_tokens to 512</t>
  </si>
  <si>
    <t xml:space="preserve">~40% output savings</t>
  </si>
  <si>
    <t xml:space="preserve">Most coaching responses don't need 1024 tokens</t>
  </si>
  <si>
    <t xml:space="preserve">Implement response streaming</t>
  </si>
  <si>
    <t xml:space="preserve">Better UX, same cost</t>
  </si>
  <si>
    <t xml:space="preserve">Users see response faster; can abort early saving partial tokens</t>
  </si>
  <si>
    <t xml:space="preserve">Batch non-urgent requests</t>
  </si>
  <si>
    <t xml:space="preserve">50% with Batch API</t>
  </si>
  <si>
    <t xml:space="preserve">Nightly insights, weekly summaries can use async Batch API</t>
  </si>
  <si>
    <t xml:space="preserve">INFRASTRUCTURE SAVINGS</t>
  </si>
  <si>
    <t xml:space="preserve">Use Render free tier initially</t>
  </si>
  <si>
    <t xml:space="preserve">$25-35/mo savings</t>
  </si>
  <si>
    <t xml:space="preserve">Start on free web service + free Redis until you hit limits</t>
  </si>
  <si>
    <t xml:space="preserve">Connection pooling for PostgreSQL</t>
  </si>
  <si>
    <t xml:space="preserve">Delay DB upgrade</t>
  </si>
  <si>
    <t xml:space="preserve">PgBouncer keeps you on smaller DB tier longer</t>
  </si>
  <si>
    <t xml:space="preserve">CDN for static assets</t>
  </si>
  <si>
    <t xml:space="preserve">Reduce bandwidth</t>
  </si>
  <si>
    <t xml:space="preserve">Cloudflare free tier for frontend; reduce Render egress</t>
  </si>
  <si>
    <t xml:space="preserve">REVENUE OPTIMIZATION</t>
  </si>
  <si>
    <t xml:space="preserve">Apple Small Business Program</t>
  </si>
  <si>
    <t xml:space="preserve">15% vs 30% cut</t>
  </si>
  <si>
    <t xml:space="preserve">Apply immediately; cuts commission in half under $1M revenue</t>
  </si>
  <si>
    <t xml:space="preserve">Annual plan push (2 months free)</t>
  </si>
  <si>
    <t xml:space="preserve">Better retention, upfront cash</t>
  </si>
  <si>
    <t xml:space="preserve">$199.99/yr = $16.67 effective/mo; reduces churn</t>
  </si>
  <si>
    <t xml:space="preserve">Web-direct subscriptions (Stripe)</t>
  </si>
  <si>
    <t xml:space="preserve">Save 27% vs Apple</t>
  </si>
  <si>
    <t xml:space="preserve">Stripe takes ~3% vs Apple 30%; offer web signup option</t>
  </si>
  <si>
    <t xml:space="preserve">Referral program</t>
  </si>
  <si>
    <t xml:space="preserve">Lower CAC</t>
  </si>
  <si>
    <t xml:space="preserve">Existing users bring friends; no paid acquisition cost</t>
  </si>
  <si>
    <t xml:space="preserve">BUSINESS ENTITY COMPARISON &amp; IP PROTECTION STRATEGY</t>
  </si>
  <si>
    <t xml:space="preserve">LLC vs S-CORP COMPARISON</t>
  </si>
  <si>
    <t xml:space="preserve">Single-Member LLC</t>
  </si>
  <si>
    <t xml:space="preserve">Multi-Member LLC</t>
  </si>
  <si>
    <t xml:space="preserve">S-Corporation</t>
  </si>
  <si>
    <t xml:space="preserve">Formation Cost</t>
  </si>
  <si>
    <t xml:space="preserve">$50-500 (state filing)</t>
  </si>
  <si>
    <t xml:space="preserve">$50-500 + operating agreement</t>
  </si>
  <si>
    <t xml:space="preserve">$50-500 filing + S-Corp election</t>
  </si>
  <si>
    <t xml:space="preserve">Annual Maintenance</t>
  </si>
  <si>
    <t xml:space="preserve">$0-800 (state fees only)</t>
  </si>
  <si>
    <t xml:space="preserve">$1,000-3,000 (payroll, tax prep)</t>
  </si>
  <si>
    <t xml:space="preserve">Liability Protection</t>
  </si>
  <si>
    <t xml:space="preserve">✅ Full personal asset protection</t>
  </si>
  <si>
    <t xml:space="preserve">Taxation</t>
  </si>
  <si>
    <t xml:space="preserve">Pass-through (Schedule C)</t>
  </si>
  <si>
    <t xml:space="preserve">Pass-through (Form 1065)</t>
  </si>
  <si>
    <t xml:space="preserve">Pass-through (Form 1120-S)</t>
  </si>
  <si>
    <t xml:space="preserve">Self-Employment Tax</t>
  </si>
  <si>
    <t xml:space="preserve">Pay on ALL net income (15.3%)</t>
  </si>
  <si>
    <t xml:space="preserve">Only on salary; distributions exempt</t>
  </si>
  <si>
    <t xml:space="preserve">SE Tax Savings @ $100K profit</t>
  </si>
  <si>
    <t xml:space="preserve">$0 saved</t>
  </si>
  <si>
    <t xml:space="preserve">~$5,000-10,000/yr saved</t>
  </si>
  <si>
    <t xml:space="preserve">SE Tax Savings @ $50K profit</t>
  </si>
  <si>
    <t xml:space="preserve">~$2,000-4,000/yr saved</t>
  </si>
  <si>
    <t xml:space="preserve">Payroll Required?</t>
  </si>
  <si>
    <t xml:space="preserve">No</t>
  </si>
  <si>
    <t xml:space="preserve">Yes — must pay yourself 'reasonable salary'</t>
  </si>
  <si>
    <t xml:space="preserve">Complexity</t>
  </si>
  <si>
    <t xml:space="preserve">★☆☆ Very simple</t>
  </si>
  <si>
    <t xml:space="preserve">★★☆ Moderate</t>
  </si>
  <si>
    <t xml:space="preserve">★★★ Complex (payroll, minutes, etc.)</t>
  </si>
  <si>
    <t xml:space="preserve">Best For Revenue Under $50K/yr</t>
  </si>
  <si>
    <t xml:space="preserve">✅ RECOMMENDED</t>
  </si>
  <si>
    <t xml:space="preserve">If partners needed</t>
  </si>
  <si>
    <t xml:space="preserve">Not worth the overhead</t>
  </si>
  <si>
    <t xml:space="preserve">Best For Revenue $50K-$150K/yr</t>
  </si>
  <si>
    <t xml:space="preserve">Good</t>
  </si>
  <si>
    <t xml:space="preserve">✅ RECOMMENDED — SE tax savings</t>
  </si>
  <si>
    <t xml:space="preserve">Best For Revenue $150K+/yr</t>
  </si>
  <si>
    <t xml:space="preserve">Less optimal</t>
  </si>
  <si>
    <t xml:space="preserve">✅ RECOMMENDED — max SE savings</t>
  </si>
  <si>
    <t xml:space="preserve">Enroll as individual or LLC</t>
  </si>
  <si>
    <t xml:space="preserve">Enroll as organization</t>
  </si>
  <si>
    <t xml:space="preserve">App Store IP Ownership</t>
  </si>
  <si>
    <t xml:space="preserve">You own it personally</t>
  </si>
  <si>
    <t xml:space="preserve">LLC owns it</t>
  </si>
  <si>
    <t xml:space="preserve">S-Corp owns it</t>
  </si>
  <si>
    <t xml:space="preserve">★ RECOMMENDATION: Start as Single-Member LLC now. Elect S-Corp status when net profit exceeds ~$50K/year.</t>
  </si>
  <si>
    <t xml:space="preserve">IP PROTECTION STRATEGY</t>
  </si>
  <si>
    <t xml:space="preserve">Priority</t>
  </si>
  <si>
    <t xml:space="preserve">Est. Cost</t>
  </si>
  <si>
    <t xml:space="preserve">Action Items</t>
  </si>
  <si>
    <t xml:space="preserve">TRADEMARKS</t>
  </si>
  <si>
    <t xml:space="preserve">File 'Top Performer' trademark (USPTO)</t>
  </si>
  <si>
    <t xml:space="preserve">🔴 HIGH</t>
  </si>
  <si>
    <t xml:space="preserve">$250-350</t>
  </si>
  <si>
    <t xml:space="preserve">File Intent-to-Use via TEAS Plus; Class 9 (software) + Class 42 (SaaS)</t>
  </si>
  <si>
    <t xml:space="preserve">File 'Bet On Yourself' trademark</t>
  </si>
  <si>
    <t xml:space="preserve">🟡 MEDIUM</t>
  </si>
  <si>
    <t xml:space="preserve">Secondary mark; file after primary if budget allows</t>
  </si>
  <si>
    <t xml:space="preserve">Register logo/icon mark</t>
  </si>
  <si>
    <t xml:space="preserve">File design mark separately for app icon</t>
  </si>
  <si>
    <t xml:space="preserve">COPYRIGHT</t>
  </si>
  <si>
    <t xml:space="preserve">Register Content Bible with US Copyright Office</t>
  </si>
  <si>
    <t xml:space="preserve">$65</t>
  </si>
  <si>
    <t xml:space="preserve">Protects your coaching methodology and content framework</t>
  </si>
  <si>
    <t xml:space="preserve">Register app source code</t>
  </si>
  <si>
    <t xml:space="preserve">Provides statutory damages option if code is stolen</t>
  </si>
  <si>
    <t xml:space="preserve">Copyright notice in app footer</t>
  </si>
  <si>
    <t xml:space="preserve">$0</t>
  </si>
  <si>
    <t xml:space="preserve">Add '© 2026 Top Performer LLC. All rights reserved.'</t>
  </si>
  <si>
    <t xml:space="preserve">TRADE SECRETS</t>
  </si>
  <si>
    <t xml:space="preserve">System prompt is a trade secret</t>
  </si>
  <si>
    <t xml:space="preserve">Already have confidentiality directive; never expose in client-side code</t>
  </si>
  <si>
    <t xml:space="preserve">Coaching methodology documentation</t>
  </si>
  <si>
    <t xml:space="preserve">Mark Content Bible as 'CONFIDENTIAL — TRADE SECRET'</t>
  </si>
  <si>
    <t xml:space="preserve">User engagement algorithms</t>
  </si>
  <si>
    <t xml:space="preserve">Document proprietary conversation mode logic</t>
  </si>
  <si>
    <t xml:space="preserve">APP STORE PROTECTIONS</t>
  </si>
  <si>
    <t xml:space="preserve">Secure all social handles (@topperformer)</t>
  </si>
  <si>
    <t xml:space="preserve">Instagram, TikTok, X, YouTube, Facebook, LinkedIn</t>
  </si>
  <si>
    <t xml:space="preserve">Register domain (topperformer.app)</t>
  </si>
  <si>
    <t xml:space="preserve">$12-15/yr</t>
  </si>
  <si>
    <t xml:space="preserve">Primary domain + topperformerapp.com</t>
  </si>
  <si>
    <t xml:space="preserve">App Store brand protection</t>
  </si>
  <si>
    <t xml:space="preserve">Monitor for copycat apps; file takedowns via App Store</t>
  </si>
  <si>
    <t xml:space="preserve">CONTRACTS &amp; AGREEMENTS</t>
  </si>
  <si>
    <t xml:space="preserve">Terms of Service</t>
  </si>
  <si>
    <t xml:space="preserve">$0-500</t>
  </si>
  <si>
    <t xml:space="preserve">Cover IP ownership, user-generated content rights, limitations</t>
  </si>
  <si>
    <t xml:space="preserve">Privacy Policy (already built)</t>
  </si>
  <si>
    <t xml:space="preserve">✅ DONE</t>
  </si>
  <si>
    <t xml:space="preserve">PrivacyPolicy.js already in app</t>
  </si>
  <si>
    <t xml:space="preserve">Contributor/contractor agreements</t>
  </si>
  <si>
    <t xml:space="preserve">$0-200</t>
  </si>
  <si>
    <t xml:space="preserve">If anyone helps build — ensure IP assignment clause</t>
  </si>
  <si>
    <t xml:space="preserve">NDA template</t>
  </si>
  <si>
    <t xml:space="preserve">For anyone who sees system prompt or proprietary methods</t>
  </si>
  <si>
    <t xml:space="preserve">ESTIMATED TOTAL IP PROTECTION BUDGET: ~$900-$1,600 (one-time) + ~$27/yr (domains, renewals)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</si>
</sst>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%"/>
    <numFmt numFmtId="168" formatCode="\$#,##0.0000"/>
    <numFmt numFmtId="169" formatCode="#,##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2"/>
      <color rgb="FFE9456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6"/>
      <color rgb="FFE9456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E9456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1"/>
      <color rgb="FF0F346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F3E0"/>
        <bgColor rgb="FFE8F5E9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6213E"/>
      </patternFill>
    </fill>
    <fill>
      <patternFill patternType="solid">
        <fgColor rgb="FFE8F5E9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B59B6"/>
      <rgbColor rgb="FF9999FF"/>
      <rgbColor rgb="FFE94560"/>
      <rgbColor rgb="FFFFF3E0"/>
      <rgbColor rgb="FFE8F5E9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2ECC71"/>
      <rgbColor rgb="FF99CC00"/>
      <rgbColor rgb="FFFFCC00"/>
      <rgbColor rgb="FFF39C12"/>
      <rgbColor rgb="FFE74C3C"/>
      <rgbColor rgb="FF666666"/>
      <rgbColor rgb="FF969696"/>
      <rgbColor rgb="FF0F3460"/>
      <rgbColor rgb="FF27AE60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'Unit Economics'!B5</f>
        <v>19.99</v>
      </c>
      <c r="C4" s="3" t="s">
        <v>5</v>
      </c>
    </row>
    <row r="5" customFormat="false" ht="15" hidden="false" customHeight="false" outlineLevel="0" collapsed="false">
      <c r="A5" s="3" t="s">
        <v>6</v>
      </c>
      <c r="B5" s="4" t="n">
        <f aca="false">'Unit Economics'!B8</f>
        <v>13.993</v>
      </c>
      <c r="C5" s="3" t="s">
        <v>7</v>
      </c>
    </row>
    <row r="6" customFormat="false" ht="15" hidden="false" customHeight="false" outlineLevel="0" collapsed="false">
      <c r="A6" s="3" t="s">
        <v>8</v>
      </c>
      <c r="B6" s="4" t="n">
        <f aca="false">'Unit Economics'!B33</f>
        <v>15.7005</v>
      </c>
      <c r="C6" s="3" t="s">
        <v>9</v>
      </c>
    </row>
    <row r="7" customFormat="false" ht="15" hidden="false" customHeight="false" outlineLevel="0" collapsed="false">
      <c r="A7" s="5" t="s">
        <v>10</v>
      </c>
      <c r="B7" s="6" t="n">
        <f aca="false">'Unit Economics'!B37</f>
        <v>-1.7075</v>
      </c>
      <c r="C7" s="5" t="s">
        <v>11</v>
      </c>
    </row>
    <row r="9" customFormat="false" ht="15" hidden="false" customHeight="false" outlineLevel="0" collapsed="false">
      <c r="A9" s="2" t="s">
        <v>12</v>
      </c>
      <c r="B9" s="2"/>
      <c r="C9" s="2"/>
    </row>
    <row r="10" customFormat="false" ht="15" hidden="false" customHeight="false" outlineLevel="0" collapsed="false">
      <c r="A10" s="3" t="s">
        <v>13</v>
      </c>
      <c r="B10" s="4" t="n">
        <f aca="false">'Break-Even Analysis'!B17</f>
        <v>93.25</v>
      </c>
      <c r="C10" s="3" t="s">
        <v>14</v>
      </c>
    </row>
    <row r="12" customFormat="false" ht="15" hidden="false" customHeight="false" outlineLevel="0" collapsed="false">
      <c r="A12" s="7" t="s">
        <v>15</v>
      </c>
      <c r="B12" s="7"/>
      <c r="C12" s="7"/>
    </row>
    <row r="13" customFormat="false" ht="19.7" hidden="false" customHeight="false" outlineLevel="0" collapsed="false">
      <c r="A13" s="8" t="s">
        <v>16</v>
      </c>
      <c r="B13" s="9" t="n">
        <f aca="false">'Break-Even Analysis'!B38</f>
        <v>-55</v>
      </c>
      <c r="C13" s="0" t="s">
        <v>17</v>
      </c>
    </row>
    <row r="15" customFormat="false" ht="15" hidden="false" customHeight="false" outlineLevel="0" collapsed="false">
      <c r="A15" s="2" t="s">
        <v>18</v>
      </c>
      <c r="B15" s="2"/>
      <c r="C15" s="2"/>
    </row>
    <row r="16" customFormat="false" ht="15" hidden="false" customHeight="false" outlineLevel="0" collapsed="false">
      <c r="A16" s="10" t="s">
        <v>19</v>
      </c>
      <c r="B16" s="11" t="n">
        <f aca="false">'Break-Even Analysis'!C32</f>
        <v>-264</v>
      </c>
    </row>
    <row r="17" customFormat="false" ht="15" hidden="false" customHeight="false" outlineLevel="0" collapsed="false">
      <c r="A17" s="10" t="s">
        <v>20</v>
      </c>
      <c r="B17" s="11" t="n">
        <f aca="false">'Break-Even Analysis'!E32</f>
        <v>-1007</v>
      </c>
    </row>
    <row r="18" customFormat="false" ht="15" hidden="false" customHeight="false" outlineLevel="0" collapsed="false">
      <c r="A18" s="10" t="s">
        <v>21</v>
      </c>
      <c r="B18" s="11" t="n">
        <f aca="false">'Break-Even Analysis'!F32</f>
        <v>-1916.75</v>
      </c>
    </row>
    <row r="20" customFormat="false" ht="15" hidden="false" customHeight="false" outlineLevel="0" collapsed="false">
      <c r="A20" s="2" t="s">
        <v>22</v>
      </c>
      <c r="B20" s="2"/>
      <c r="C20" s="2"/>
    </row>
    <row r="21" customFormat="false" ht="34.5" hidden="false" customHeight="true" outlineLevel="0" collapsed="false">
      <c r="A21" s="12" t="s">
        <v>23</v>
      </c>
      <c r="B21" s="12"/>
      <c r="C21" s="12"/>
    </row>
    <row r="23" customFormat="false" ht="15" hidden="false" customHeight="false" outlineLevel="0" collapsed="false">
      <c r="A23" s="2" t="s">
        <v>24</v>
      </c>
      <c r="B23" s="2"/>
      <c r="C23" s="2"/>
    </row>
    <row r="24" customFormat="false" ht="15" hidden="false" customHeight="false" outlineLevel="0" collapsed="false">
      <c r="A24" s="13" t="s">
        <v>25</v>
      </c>
      <c r="B24" s="13"/>
      <c r="C24" s="13"/>
    </row>
    <row r="25" customFormat="false" ht="15" hidden="false" customHeight="false" outlineLevel="0" collapsed="false">
      <c r="A25" s="13" t="s">
        <v>26</v>
      </c>
      <c r="B25" s="13"/>
      <c r="C25" s="13"/>
    </row>
    <row r="26" customFormat="false" ht="15" hidden="false" customHeight="false" outlineLevel="0" collapsed="false">
      <c r="A26" s="13" t="s">
        <v>27</v>
      </c>
      <c r="B26" s="13"/>
      <c r="C26" s="13"/>
    </row>
    <row r="27" customFormat="false" ht="15" hidden="false" customHeight="false" outlineLevel="0" collapsed="false">
      <c r="A27" s="13" t="s">
        <v>28</v>
      </c>
      <c r="B27" s="13"/>
      <c r="C27" s="13"/>
    </row>
    <row r="28" customFormat="false" ht="15" hidden="false" customHeight="false" outlineLevel="0" collapsed="false">
      <c r="A28" s="13" t="s">
        <v>29</v>
      </c>
      <c r="B28" s="13"/>
      <c r="C28" s="13"/>
    </row>
    <row r="29" customFormat="false" ht="15" hidden="false" customHeight="false" outlineLevel="0" collapsed="false">
      <c r="A29" s="13" t="s">
        <v>30</v>
      </c>
      <c r="B29" s="13"/>
      <c r="C29" s="13"/>
    </row>
    <row r="30" customFormat="false" ht="15" hidden="false" customHeight="false" outlineLevel="0" collapsed="false">
      <c r="A30" s="13" t="s">
        <v>31</v>
      </c>
      <c r="B30" s="13"/>
      <c r="C30" s="13"/>
    </row>
    <row r="31" customFormat="false" ht="15" hidden="false" customHeight="false" outlineLevel="0" collapsed="false">
      <c r="A31" s="13" t="s">
        <v>32</v>
      </c>
      <c r="B31" s="13"/>
      <c r="C31" s="13"/>
    </row>
  </sheetData>
  <mergeCells count="10">
    <mergeCell ref="A1:C1"/>
    <mergeCell ref="A21:C21"/>
    <mergeCell ref="A24:C24"/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4" min="3" style="0" width="22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</row>
    <row r="2" customFormat="false" ht="15" hidden="false" customHeight="false" outlineLevel="0" collapsed="false">
      <c r="A2" s="14" t="s">
        <v>34</v>
      </c>
      <c r="B2" s="14"/>
      <c r="C2" s="14"/>
      <c r="D2" s="14"/>
    </row>
    <row r="4" customFormat="false" ht="15" hidden="false" customHeight="false" outlineLevel="0" collapsed="false">
      <c r="A4" s="2" t="s">
        <v>35</v>
      </c>
      <c r="B4" s="2" t="s">
        <v>36</v>
      </c>
      <c r="C4" s="2" t="s">
        <v>37</v>
      </c>
      <c r="D4" s="2"/>
    </row>
    <row r="5" customFormat="false" ht="15" hidden="false" customHeight="false" outlineLevel="0" collapsed="false">
      <c r="A5" s="15" t="s">
        <v>38</v>
      </c>
      <c r="B5" s="16" t="n">
        <v>19.99</v>
      </c>
      <c r="C5" s="15" t="s">
        <v>39</v>
      </c>
      <c r="D5" s="15"/>
    </row>
    <row r="6" customFormat="false" ht="15" hidden="false" customHeight="false" outlineLevel="0" collapsed="false">
      <c r="A6" s="15" t="s">
        <v>40</v>
      </c>
      <c r="B6" s="17" t="n">
        <v>0.3</v>
      </c>
      <c r="C6" s="15" t="s">
        <v>41</v>
      </c>
      <c r="D6" s="15"/>
    </row>
    <row r="7" customFormat="false" ht="15" hidden="false" customHeight="false" outlineLevel="0" collapsed="false">
      <c r="A7" s="15" t="s">
        <v>42</v>
      </c>
      <c r="B7" s="17" t="n">
        <v>0.15</v>
      </c>
      <c r="C7" s="15" t="s">
        <v>43</v>
      </c>
      <c r="D7" s="15"/>
    </row>
    <row r="8" customFormat="false" ht="15" hidden="false" customHeight="false" outlineLevel="0" collapsed="false">
      <c r="A8" s="5" t="s">
        <v>44</v>
      </c>
      <c r="B8" s="6" t="n">
        <f aca="false">B5*(1-B6)</f>
        <v>13.993</v>
      </c>
      <c r="C8" s="5" t="s">
        <v>45</v>
      </c>
      <c r="D8" s="5"/>
    </row>
    <row r="9" customFormat="false" ht="15" hidden="false" customHeight="false" outlineLevel="0" collapsed="false">
      <c r="A9" s="5" t="s">
        <v>46</v>
      </c>
      <c r="B9" s="6" t="n">
        <f aca="false">B5*(1-B7)</f>
        <v>16.9915</v>
      </c>
      <c r="C9" s="5" t="s">
        <v>47</v>
      </c>
      <c r="D9" s="5"/>
    </row>
    <row r="10" customFormat="false" ht="15" hidden="false" customHeight="false" outlineLevel="0" collapsed="false">
      <c r="A10" s="3" t="s">
        <v>48</v>
      </c>
      <c r="B10" s="4" t="n">
        <f aca="false">B8</f>
        <v>13.993</v>
      </c>
      <c r="C10" s="3" t="s">
        <v>49</v>
      </c>
      <c r="D10" s="3"/>
    </row>
    <row r="11" customFormat="false" ht="15" hidden="false" customHeight="false" outlineLevel="0" collapsed="false">
      <c r="A11" s="5" t="s">
        <v>50</v>
      </c>
      <c r="B11" s="6" t="n">
        <f aca="false">B8*11/12</f>
        <v>12.8269166666667</v>
      </c>
      <c r="C11" s="5" t="s">
        <v>51</v>
      </c>
      <c r="D11" s="5"/>
    </row>
    <row r="13" customFormat="false" ht="15" hidden="false" customHeight="false" outlineLevel="0" collapsed="false">
      <c r="A13" s="2" t="s">
        <v>52</v>
      </c>
      <c r="B13" s="2" t="s">
        <v>36</v>
      </c>
      <c r="C13" s="2" t="s">
        <v>37</v>
      </c>
      <c r="D13" s="2"/>
    </row>
    <row r="14" customFormat="false" ht="15" hidden="false" customHeight="false" outlineLevel="0" collapsed="false">
      <c r="A14" s="15" t="s">
        <v>53</v>
      </c>
      <c r="B14" s="15" t="s">
        <v>54</v>
      </c>
      <c r="C14" s="15" t="s">
        <v>55</v>
      </c>
      <c r="D14" s="15"/>
    </row>
    <row r="15" customFormat="false" ht="15" hidden="false" customHeight="false" outlineLevel="0" collapsed="false">
      <c r="A15" s="15" t="s">
        <v>56</v>
      </c>
      <c r="B15" s="16" t="n">
        <v>3</v>
      </c>
      <c r="C15" s="15" t="s">
        <v>57</v>
      </c>
      <c r="D15" s="15"/>
    </row>
    <row r="16" customFormat="false" ht="15" hidden="false" customHeight="false" outlineLevel="0" collapsed="false">
      <c r="A16" s="15" t="s">
        <v>58</v>
      </c>
      <c r="B16" s="16" t="n">
        <v>15</v>
      </c>
      <c r="C16" s="15" t="s">
        <v>57</v>
      </c>
      <c r="D16" s="15"/>
    </row>
    <row r="17" customFormat="false" ht="15" hidden="false" customHeight="false" outlineLevel="0" collapsed="false">
      <c r="A17" s="15" t="s">
        <v>59</v>
      </c>
      <c r="B17" s="18" t="n">
        <v>16000</v>
      </c>
      <c r="C17" s="15" t="s">
        <v>60</v>
      </c>
      <c r="D17" s="15"/>
    </row>
    <row r="18" customFormat="false" ht="15" hidden="false" customHeight="false" outlineLevel="0" collapsed="false">
      <c r="A18" s="15" t="s">
        <v>61</v>
      </c>
      <c r="B18" s="18" t="n">
        <v>150</v>
      </c>
      <c r="C18" s="15" t="s">
        <v>62</v>
      </c>
      <c r="D18" s="15"/>
    </row>
    <row r="19" customFormat="false" ht="15" hidden="false" customHeight="false" outlineLevel="0" collapsed="false">
      <c r="A19" s="15" t="s">
        <v>63</v>
      </c>
      <c r="B19" s="18" t="n">
        <v>4000</v>
      </c>
      <c r="C19" s="15" t="s">
        <v>64</v>
      </c>
      <c r="D19" s="15"/>
    </row>
    <row r="20" customFormat="false" ht="15" hidden="false" customHeight="false" outlineLevel="0" collapsed="false">
      <c r="A20" s="15" t="s">
        <v>65</v>
      </c>
      <c r="B20" s="18" t="n">
        <v>1024</v>
      </c>
      <c r="C20" s="15" t="s">
        <v>66</v>
      </c>
      <c r="D20" s="15"/>
    </row>
    <row r="21" customFormat="false" ht="15" hidden="false" customHeight="false" outlineLevel="0" collapsed="false">
      <c r="A21" s="15" t="s">
        <v>67</v>
      </c>
      <c r="B21" s="18" t="n">
        <v>600</v>
      </c>
      <c r="C21" s="15" t="s">
        <v>68</v>
      </c>
      <c r="D21" s="15"/>
    </row>
    <row r="22" customFormat="false" ht="15" hidden="false" customHeight="false" outlineLevel="0" collapsed="false">
      <c r="A22" s="15" t="s">
        <v>69</v>
      </c>
      <c r="B22" s="17" t="n">
        <v>0.8</v>
      </c>
      <c r="C22" s="15" t="s">
        <v>70</v>
      </c>
      <c r="D22" s="15"/>
    </row>
    <row r="23" customFormat="false" ht="15" hidden="false" customHeight="false" outlineLevel="0" collapsed="false">
      <c r="A23" s="15" t="s">
        <v>71</v>
      </c>
      <c r="B23" s="19" t="n">
        <v>0.9</v>
      </c>
      <c r="C23" s="15" t="s">
        <v>72</v>
      </c>
      <c r="D23" s="15"/>
    </row>
    <row r="24" customFormat="false" ht="15" hidden="false" customHeight="false" outlineLevel="0" collapsed="false">
      <c r="A24" s="20" t="s">
        <v>73</v>
      </c>
      <c r="B24" s="20"/>
      <c r="C24" s="20"/>
      <c r="D24" s="20"/>
    </row>
    <row r="25" customFormat="false" ht="15" hidden="false" customHeight="false" outlineLevel="0" collapsed="false">
      <c r="A25" s="3" t="s">
        <v>74</v>
      </c>
      <c r="B25" s="21" t="n">
        <f aca="false">B17+B19+B18</f>
        <v>20150</v>
      </c>
      <c r="C25" s="3" t="s">
        <v>75</v>
      </c>
      <c r="D25" s="3"/>
    </row>
    <row r="26" customFormat="false" ht="15" hidden="false" customHeight="false" outlineLevel="0" collapsed="false">
      <c r="A26" s="3" t="s">
        <v>76</v>
      </c>
      <c r="B26" s="22" t="n">
        <f aca="false">((B17*B22*(1-B23)+B17*(1-B22)+B19+B18)/1000000)*B15</f>
        <v>0.02589</v>
      </c>
      <c r="C26" s="3" t="s">
        <v>77</v>
      </c>
      <c r="D26" s="3"/>
    </row>
    <row r="27" customFormat="false" ht="15" hidden="false" customHeight="false" outlineLevel="0" collapsed="false">
      <c r="A27" s="3" t="s">
        <v>78</v>
      </c>
      <c r="B27" s="22" t="n">
        <f aca="false">(B21/1000000)*B16</f>
        <v>0.009</v>
      </c>
      <c r="C27" s="3" t="s">
        <v>79</v>
      </c>
      <c r="D27" s="3"/>
    </row>
    <row r="28" customFormat="false" ht="15" hidden="false" customHeight="false" outlineLevel="0" collapsed="false">
      <c r="A28" s="5" t="s">
        <v>80</v>
      </c>
      <c r="B28" s="23" t="n">
        <f aca="false">B26+B27</f>
        <v>0.03489</v>
      </c>
      <c r="C28" s="5" t="s">
        <v>81</v>
      </c>
      <c r="D28" s="5"/>
    </row>
    <row r="29" customFormat="false" ht="15" hidden="false" customHeight="false" outlineLevel="0" collapsed="false">
      <c r="A29" s="20" t="s">
        <v>82</v>
      </c>
      <c r="B29" s="20"/>
      <c r="C29" s="20"/>
      <c r="D29" s="20"/>
    </row>
    <row r="30" customFormat="false" ht="15" hidden="false" customHeight="false" outlineLevel="0" collapsed="false">
      <c r="A30" s="15" t="s">
        <v>83</v>
      </c>
      <c r="B30" s="24" t="n">
        <v>3</v>
      </c>
      <c r="C30" s="15" t="s">
        <v>84</v>
      </c>
      <c r="D30" s="15"/>
    </row>
    <row r="31" customFormat="false" ht="15" hidden="false" customHeight="false" outlineLevel="0" collapsed="false">
      <c r="A31" s="15" t="s">
        <v>85</v>
      </c>
      <c r="B31" s="24" t="n">
        <v>5</v>
      </c>
      <c r="C31" s="15" t="s">
        <v>86</v>
      </c>
      <c r="D31" s="15"/>
    </row>
    <row r="32" customFormat="false" ht="15" hidden="false" customHeight="false" outlineLevel="0" collapsed="false">
      <c r="A32" s="3" t="s">
        <v>87</v>
      </c>
      <c r="B32" s="21" t="n">
        <f aca="false">B30*B31*30</f>
        <v>450</v>
      </c>
      <c r="C32" s="3" t="s">
        <v>88</v>
      </c>
      <c r="D32" s="3"/>
    </row>
    <row r="33" customFormat="false" ht="15" hidden="false" customHeight="false" outlineLevel="0" collapsed="false">
      <c r="A33" s="5" t="s">
        <v>89</v>
      </c>
      <c r="B33" s="6" t="n">
        <f aca="false">B32*B28</f>
        <v>15.7005</v>
      </c>
      <c r="C33" s="5" t="s">
        <v>90</v>
      </c>
      <c r="D33" s="5"/>
    </row>
    <row r="34" customFormat="false" ht="15" hidden="false" customHeight="false" outlineLevel="0" collapsed="false">
      <c r="A34" s="20" t="s">
        <v>91</v>
      </c>
      <c r="B34" s="20"/>
      <c r="C34" s="20"/>
      <c r="D34" s="20"/>
    </row>
    <row r="35" customFormat="false" ht="15" hidden="false" customHeight="false" outlineLevel="0" collapsed="false">
      <c r="A35" s="3" t="s">
        <v>92</v>
      </c>
      <c r="B35" s="4" t="n">
        <f aca="false">B8</f>
        <v>13.993</v>
      </c>
      <c r="C35" s="3"/>
      <c r="D35" s="3"/>
    </row>
    <row r="36" customFormat="false" ht="15" hidden="false" customHeight="false" outlineLevel="0" collapsed="false">
      <c r="A36" s="3" t="s">
        <v>93</v>
      </c>
      <c r="B36" s="4" t="n">
        <f aca="false">B33</f>
        <v>15.7005</v>
      </c>
      <c r="C36" s="3"/>
      <c r="D36" s="3"/>
    </row>
    <row r="37" customFormat="false" ht="15" hidden="false" customHeight="false" outlineLevel="0" collapsed="false">
      <c r="A37" s="5" t="s">
        <v>94</v>
      </c>
      <c r="B37" s="6" t="n">
        <f aca="false">B35-B33</f>
        <v>-1.7075</v>
      </c>
      <c r="C37" s="5" t="s">
        <v>95</v>
      </c>
      <c r="D37" s="5"/>
    </row>
    <row r="38" customFormat="false" ht="15" hidden="false" customHeight="false" outlineLevel="0" collapsed="false">
      <c r="A38" s="5" t="s">
        <v>96</v>
      </c>
      <c r="B38" s="25" t="n">
        <f aca="false">IF(B35=0,0,B37/B35)</f>
        <v>-0.122025298363468</v>
      </c>
      <c r="C38" s="5"/>
      <c r="D38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/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</row>
    <row r="4" customFormat="false" ht="15" hidden="false" customHeight="false" outlineLevel="0" collapsed="false">
      <c r="A4" s="26" t="s">
        <v>104</v>
      </c>
      <c r="B4" s="26"/>
      <c r="C4" s="26"/>
      <c r="D4" s="26"/>
      <c r="E4" s="26"/>
      <c r="F4" s="26"/>
      <c r="G4" s="26"/>
    </row>
    <row r="5" customFormat="false" ht="15" hidden="false" customHeight="false" outlineLevel="0" collapsed="false">
      <c r="A5" s="15" t="s">
        <v>105</v>
      </c>
      <c r="B5" s="16" t="n">
        <v>25</v>
      </c>
      <c r="C5" s="16" t="n">
        <v>25</v>
      </c>
      <c r="D5" s="16" t="n">
        <v>25</v>
      </c>
      <c r="E5" s="16" t="n">
        <v>25</v>
      </c>
      <c r="F5" s="16" t="n">
        <v>25</v>
      </c>
      <c r="G5" s="16" t="n">
        <v>25</v>
      </c>
    </row>
    <row r="6" customFormat="false" ht="15" hidden="false" customHeight="false" outlineLevel="0" collapsed="false">
      <c r="A6" s="15" t="s">
        <v>106</v>
      </c>
      <c r="B6" s="16" t="n">
        <v>0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</row>
    <row r="7" customFormat="false" ht="15" hidden="false" customHeight="false" outlineLevel="0" collapsed="false">
      <c r="A7" s="15" t="s">
        <v>107</v>
      </c>
      <c r="B7" s="16" t="n">
        <v>19</v>
      </c>
      <c r="C7" s="16" t="n">
        <v>19</v>
      </c>
      <c r="D7" s="16" t="n">
        <v>19</v>
      </c>
      <c r="E7" s="16" t="n">
        <v>19</v>
      </c>
      <c r="F7" s="16" t="n">
        <v>19</v>
      </c>
      <c r="G7" s="16" t="n">
        <v>19</v>
      </c>
    </row>
    <row r="8" customFormat="false" ht="15" hidden="false" customHeight="false" outlineLevel="0" collapsed="false">
      <c r="A8" s="15" t="s">
        <v>108</v>
      </c>
      <c r="B8" s="16" t="n">
        <v>10</v>
      </c>
      <c r="C8" s="16" t="n">
        <v>10</v>
      </c>
      <c r="D8" s="16" t="n">
        <v>10</v>
      </c>
      <c r="E8" s="16" t="n">
        <v>10</v>
      </c>
      <c r="F8" s="16" t="n">
        <v>10</v>
      </c>
      <c r="G8" s="16" t="n">
        <v>10</v>
      </c>
    </row>
    <row r="9" customFormat="false" ht="15" hidden="false" customHeight="false" outlineLevel="0" collapsed="false">
      <c r="A9" s="15" t="s">
        <v>109</v>
      </c>
      <c r="B9" s="16" t="n">
        <v>19</v>
      </c>
      <c r="C9" s="16" t="n">
        <v>19</v>
      </c>
      <c r="D9" s="16" t="n">
        <v>19</v>
      </c>
      <c r="E9" s="16" t="n">
        <v>19</v>
      </c>
      <c r="F9" s="16" t="n">
        <v>19</v>
      </c>
      <c r="G9" s="16" t="n">
        <v>19</v>
      </c>
    </row>
    <row r="10" customFormat="false" ht="15" hidden="false" customHeight="false" outlineLevel="0" collapsed="false">
      <c r="A10" s="15" t="s">
        <v>110</v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</row>
    <row r="11" customFormat="false" ht="15" hidden="false" customHeight="false" outlineLevel="0" collapsed="false">
      <c r="A11" s="15" t="s">
        <v>111</v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</row>
    <row r="12" customFormat="false" ht="15" hidden="false" customHeight="false" outlineLevel="0" collapsed="false">
      <c r="A12" s="15" t="s">
        <v>112</v>
      </c>
      <c r="B12" s="16" t="n">
        <v>8.25</v>
      </c>
      <c r="C12" s="16" t="n">
        <v>8.25</v>
      </c>
      <c r="D12" s="16" t="n">
        <v>8.25</v>
      </c>
      <c r="E12" s="16" t="n">
        <v>8.25</v>
      </c>
      <c r="F12" s="16" t="n">
        <v>8.25</v>
      </c>
      <c r="G12" s="16" t="n">
        <v>8.25</v>
      </c>
    </row>
    <row r="13" customFormat="false" ht="15" hidden="false" customHeight="false" outlineLevel="0" collapsed="false">
      <c r="A13" s="15" t="s">
        <v>113</v>
      </c>
      <c r="B13" s="16" t="n">
        <v>2</v>
      </c>
      <c r="C13" s="16" t="n">
        <v>2</v>
      </c>
      <c r="D13" s="16" t="n">
        <v>2</v>
      </c>
      <c r="E13" s="16" t="n">
        <v>2</v>
      </c>
      <c r="F13" s="16" t="n">
        <v>2</v>
      </c>
      <c r="G13" s="16" t="n">
        <v>2</v>
      </c>
    </row>
    <row r="14" customFormat="false" ht="15" hidden="false" customHeight="false" outlineLevel="0" collapsed="false">
      <c r="A14" s="15" t="s">
        <v>114</v>
      </c>
      <c r="B14" s="16" t="n">
        <v>10</v>
      </c>
      <c r="C14" s="16" t="n">
        <v>10</v>
      </c>
      <c r="D14" s="16" t="n">
        <v>10</v>
      </c>
      <c r="E14" s="16" t="n">
        <v>10</v>
      </c>
      <c r="F14" s="16" t="n">
        <v>10</v>
      </c>
      <c r="G14" s="16" t="n">
        <v>10</v>
      </c>
    </row>
    <row r="15" customFormat="false" ht="15" hidden="false" customHeight="false" outlineLevel="0" collapsed="false">
      <c r="A15" s="15" t="s">
        <v>115</v>
      </c>
      <c r="B15" s="16" t="n">
        <v>0</v>
      </c>
      <c r="C15" s="16" t="n">
        <v>0</v>
      </c>
      <c r="D15" s="16" t="n">
        <v>0</v>
      </c>
      <c r="E15" s="16" t="n">
        <v>60</v>
      </c>
      <c r="F15" s="16" t="n">
        <v>60</v>
      </c>
      <c r="G15" s="16" t="n">
        <v>60</v>
      </c>
    </row>
    <row r="16" customFormat="false" ht="15" hidden="false" customHeight="false" outlineLevel="0" collapsed="false">
      <c r="A16" s="15" t="s">
        <v>116</v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56</v>
      </c>
      <c r="G16" s="16" t="n">
        <v>56</v>
      </c>
    </row>
    <row r="17" customFormat="false" ht="15" hidden="false" customHeight="false" outlineLevel="0" collapsed="false">
      <c r="A17" s="27" t="s">
        <v>117</v>
      </c>
      <c r="B17" s="28" t="n">
        <f aca="false">SUM(B5:B16)</f>
        <v>93.25</v>
      </c>
      <c r="C17" s="28" t="n">
        <f aca="false">SUM(C5:C16)</f>
        <v>93.25</v>
      </c>
      <c r="D17" s="28" t="n">
        <f aca="false">SUM(D5:D16)</f>
        <v>93.25</v>
      </c>
      <c r="E17" s="28" t="n">
        <f aca="false">SUM(E5:E16)</f>
        <v>153.25</v>
      </c>
      <c r="F17" s="28" t="n">
        <f aca="false">SUM(F5:F16)</f>
        <v>209.25</v>
      </c>
      <c r="G17" s="28" t="n">
        <f aca="false">SUM(G5:G16)</f>
        <v>209.25</v>
      </c>
    </row>
    <row r="19" customFormat="false" ht="15" hidden="false" customHeight="false" outlineLevel="0" collapsed="false">
      <c r="A19" s="26" t="s">
        <v>118</v>
      </c>
      <c r="B19" s="26"/>
      <c r="C19" s="26"/>
      <c r="D19" s="26"/>
      <c r="E19" s="26"/>
      <c r="F19" s="26"/>
      <c r="G19" s="26"/>
    </row>
    <row r="20" customFormat="false" ht="15" hidden="false" customHeight="false" outlineLevel="0" collapsed="false">
      <c r="A20" s="3" t="s">
        <v>89</v>
      </c>
      <c r="B20" s="4" t="n">
        <f aca="false">'Unit Economics'!B33</f>
        <v>15.7005</v>
      </c>
      <c r="C20" s="4" t="n">
        <f aca="false">'Unit Economics'!B33</f>
        <v>15.7005</v>
      </c>
      <c r="D20" s="4" t="n">
        <f aca="false">'Unit Economics'!B33</f>
        <v>15.7005</v>
      </c>
      <c r="E20" s="4" t="n">
        <f aca="false">'Unit Economics'!B33</f>
        <v>15.7005</v>
      </c>
      <c r="F20" s="4" t="n">
        <f aca="false">'Unit Economics'!B33</f>
        <v>15.7005</v>
      </c>
      <c r="G20" s="4" t="n">
        <f aca="false">'Unit Economics'!B33</f>
        <v>15.7005</v>
      </c>
    </row>
    <row r="21" customFormat="false" ht="15" hidden="false" customHeight="false" outlineLevel="0" collapsed="false">
      <c r="A21" s="3" t="s">
        <v>119</v>
      </c>
      <c r="B21" s="21" t="n">
        <v>50</v>
      </c>
      <c r="C21" s="21" t="n">
        <v>100</v>
      </c>
      <c r="D21" s="21" t="n">
        <v>250</v>
      </c>
      <c r="E21" s="21" t="n">
        <v>500</v>
      </c>
      <c r="F21" s="21" t="n">
        <v>1000</v>
      </c>
      <c r="G21" s="21" t="n">
        <v>5000</v>
      </c>
    </row>
    <row r="22" customFormat="false" ht="15" hidden="false" customHeight="false" outlineLevel="0" collapsed="false">
      <c r="A22" s="5" t="s">
        <v>120</v>
      </c>
      <c r="B22" s="28" t="n">
        <f aca="false">B20*B21</f>
        <v>785.025</v>
      </c>
      <c r="C22" s="28" t="n">
        <f aca="false">C20*C21</f>
        <v>1570.05</v>
      </c>
      <c r="D22" s="28" t="n">
        <f aca="false">D20*D21</f>
        <v>3925.125</v>
      </c>
      <c r="E22" s="28" t="n">
        <f aca="false">E20*E21</f>
        <v>7850.25</v>
      </c>
      <c r="F22" s="28" t="n">
        <f aca="false">F20*F21</f>
        <v>15700.5</v>
      </c>
      <c r="G22" s="28" t="n">
        <f aca="false">G20*G21</f>
        <v>78502.5</v>
      </c>
    </row>
    <row r="24" customFormat="false" ht="15" hidden="false" customHeight="false" outlineLevel="0" collapsed="false">
      <c r="A24" s="26" t="s">
        <v>121</v>
      </c>
      <c r="B24" s="26"/>
      <c r="C24" s="26"/>
      <c r="D24" s="26"/>
      <c r="E24" s="26"/>
      <c r="F24" s="26"/>
      <c r="G24" s="26"/>
    </row>
    <row r="25" customFormat="false" ht="15" hidden="false" customHeight="false" outlineLevel="0" collapsed="false">
      <c r="A25" s="3" t="s">
        <v>122</v>
      </c>
      <c r="B25" s="4" t="n">
        <f aca="false">'Unit Economics'!B35</f>
        <v>13.993</v>
      </c>
      <c r="C25" s="4" t="n">
        <f aca="false">'Unit Economics'!B35</f>
        <v>13.993</v>
      </c>
      <c r="D25" s="4" t="n">
        <f aca="false">'Unit Economics'!B35</f>
        <v>13.993</v>
      </c>
      <c r="E25" s="4" t="n">
        <f aca="false">'Unit Economics'!B35</f>
        <v>13.993</v>
      </c>
      <c r="F25" s="4" t="n">
        <f aca="false">'Unit Economics'!B35</f>
        <v>13.993</v>
      </c>
      <c r="G25" s="4" t="n">
        <f aca="false">'Unit Economics'!B35</f>
        <v>13.993</v>
      </c>
    </row>
    <row r="26" customFormat="false" ht="15" hidden="false" customHeight="false" outlineLevel="0" collapsed="false">
      <c r="A26" s="5" t="s">
        <v>123</v>
      </c>
      <c r="B26" s="28" t="n">
        <f aca="false">B25*B21</f>
        <v>699.65</v>
      </c>
      <c r="C26" s="28" t="n">
        <f aca="false">C25*C21</f>
        <v>1399.3</v>
      </c>
      <c r="D26" s="28" t="n">
        <f aca="false">D25*D21</f>
        <v>3498.25</v>
      </c>
      <c r="E26" s="28" t="n">
        <f aca="false">E25*E21</f>
        <v>6996.5</v>
      </c>
      <c r="F26" s="28" t="n">
        <f aca="false">F25*F21</f>
        <v>13993</v>
      </c>
      <c r="G26" s="28" t="n">
        <f aca="false">G25*G21</f>
        <v>69965</v>
      </c>
    </row>
    <row r="28" customFormat="false" ht="15" hidden="false" customHeight="false" outlineLevel="0" collapsed="false">
      <c r="A28" s="26" t="s">
        <v>124</v>
      </c>
      <c r="B28" s="26"/>
      <c r="C28" s="26"/>
      <c r="D28" s="26"/>
      <c r="E28" s="26"/>
      <c r="F28" s="26"/>
      <c r="G28" s="26"/>
    </row>
    <row r="29" customFormat="false" ht="15" hidden="false" customHeight="false" outlineLevel="0" collapsed="false">
      <c r="A29" s="3" t="s">
        <v>125</v>
      </c>
      <c r="B29" s="4" t="n">
        <f aca="false">B26</f>
        <v>699.65</v>
      </c>
      <c r="C29" s="4" t="n">
        <f aca="false">C26</f>
        <v>1399.3</v>
      </c>
      <c r="D29" s="4" t="n">
        <f aca="false">D26</f>
        <v>3498.25</v>
      </c>
      <c r="E29" s="4" t="n">
        <f aca="false">E26</f>
        <v>6996.5</v>
      </c>
      <c r="F29" s="4" t="n">
        <f aca="false">F26</f>
        <v>13993</v>
      </c>
      <c r="G29" s="4" t="n">
        <f aca="false">G26</f>
        <v>69965</v>
      </c>
    </row>
    <row r="30" customFormat="false" ht="15" hidden="false" customHeight="false" outlineLevel="0" collapsed="false">
      <c r="A30" s="3" t="s">
        <v>126</v>
      </c>
      <c r="B30" s="4" t="n">
        <f aca="false">B17</f>
        <v>93.25</v>
      </c>
      <c r="C30" s="4" t="n">
        <f aca="false">C17</f>
        <v>93.25</v>
      </c>
      <c r="D30" s="4" t="n">
        <f aca="false">D17</f>
        <v>93.25</v>
      </c>
      <c r="E30" s="4" t="n">
        <f aca="false">E17</f>
        <v>153.25</v>
      </c>
      <c r="F30" s="4" t="n">
        <f aca="false">F17</f>
        <v>209.25</v>
      </c>
      <c r="G30" s="4" t="n">
        <f aca="false">G17</f>
        <v>209.25</v>
      </c>
    </row>
    <row r="31" customFormat="false" ht="15" hidden="false" customHeight="false" outlineLevel="0" collapsed="false">
      <c r="A31" s="3" t="s">
        <v>127</v>
      </c>
      <c r="B31" s="4" t="n">
        <f aca="false">B22</f>
        <v>785.025</v>
      </c>
      <c r="C31" s="4" t="n">
        <f aca="false">C22</f>
        <v>1570.05</v>
      </c>
      <c r="D31" s="4" t="n">
        <f aca="false">D22</f>
        <v>3925.125</v>
      </c>
      <c r="E31" s="4" t="n">
        <f aca="false">E22</f>
        <v>7850.25</v>
      </c>
      <c r="F31" s="4" t="n">
        <f aca="false">F22</f>
        <v>15700.5</v>
      </c>
      <c r="G31" s="4" t="n">
        <f aca="false">G22</f>
        <v>78502.5</v>
      </c>
    </row>
    <row r="32" customFormat="false" ht="15" hidden="false" customHeight="false" outlineLevel="0" collapsed="false">
      <c r="A32" s="29" t="s">
        <v>128</v>
      </c>
      <c r="B32" s="30" t="n">
        <f aca="false">B26-B17-B22</f>
        <v>-178.625</v>
      </c>
      <c r="C32" s="30" t="n">
        <f aca="false">C26-C17-C22</f>
        <v>-264</v>
      </c>
      <c r="D32" s="30" t="n">
        <f aca="false">D26-D17-D22</f>
        <v>-520.125000000001</v>
      </c>
      <c r="E32" s="30" t="n">
        <f aca="false">E26-E17-E22</f>
        <v>-1007</v>
      </c>
      <c r="F32" s="30" t="n">
        <f aca="false">F26-F17-F22</f>
        <v>-1916.75</v>
      </c>
      <c r="G32" s="30" t="n">
        <f aca="false">G26-G17-G22</f>
        <v>-8746.75000000002</v>
      </c>
    </row>
    <row r="33" customFormat="false" ht="15" hidden="false" customHeight="false" outlineLevel="0" collapsed="false">
      <c r="A33" s="5" t="s">
        <v>129</v>
      </c>
      <c r="B33" s="25" t="n">
        <f aca="false">IF(B26=0,0,B32/B26)</f>
        <v>-0.255306224540842</v>
      </c>
      <c r="C33" s="25" t="n">
        <f aca="false">IF(C26=0,0,C32/C26)</f>
        <v>-0.188665761452155</v>
      </c>
      <c r="D33" s="25" t="n">
        <f aca="false">IF(D26=0,0,D32/D26)</f>
        <v>-0.148681483598943</v>
      </c>
      <c r="E33" s="25" t="n">
        <f aca="false">IF(E26=0,0,E32/E26)</f>
        <v>-0.143929107410849</v>
      </c>
      <c r="F33" s="25" t="n">
        <f aca="false">IF(F26=0,0,F32/F26)</f>
        <v>-0.136979203887658</v>
      </c>
      <c r="G33" s="25" t="n">
        <f aca="false">IF(G26=0,0,G32/G26)</f>
        <v>-0.125016079468306</v>
      </c>
    </row>
    <row r="35" customFormat="false" ht="15" hidden="false" customHeight="false" outlineLevel="0" collapsed="false">
      <c r="A35" s="26" t="s">
        <v>130</v>
      </c>
      <c r="B35" s="26"/>
      <c r="C35" s="26"/>
      <c r="D35" s="26"/>
      <c r="E35" s="26"/>
      <c r="F35" s="26"/>
      <c r="G35" s="26"/>
    </row>
    <row r="36" customFormat="false" ht="15" hidden="false" customHeight="false" outlineLevel="0" collapsed="false">
      <c r="A36" s="3" t="s">
        <v>131</v>
      </c>
      <c r="B36" s="4" t="n">
        <f aca="false">B17</f>
        <v>93.25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A37" s="3" t="s">
        <v>132</v>
      </c>
      <c r="B37" s="4" t="n">
        <f aca="false">'Unit Economics'!B35-'Unit Economics'!B33</f>
        <v>-1.7075</v>
      </c>
      <c r="C37" s="3" t="s">
        <v>133</v>
      </c>
      <c r="D37" s="3"/>
      <c r="E37" s="3"/>
      <c r="F37" s="3"/>
    </row>
    <row r="38" customFormat="false" ht="17.35" hidden="false" customHeight="false" outlineLevel="0" collapsed="false">
      <c r="A38" s="31" t="s">
        <v>134</v>
      </c>
      <c r="B38" s="32" t="n">
        <f aca="false">ROUNDUP(B36/B37,0)</f>
        <v>-55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135</v>
      </c>
      <c r="B1" s="1"/>
      <c r="C1" s="1"/>
    </row>
    <row r="3" customFormat="false" ht="15" hidden="false" customHeight="false" outlineLevel="0" collapsed="false">
      <c r="A3" s="26" t="s">
        <v>136</v>
      </c>
      <c r="B3" s="26"/>
      <c r="C3" s="26"/>
    </row>
    <row r="4" customFormat="false" ht="15" hidden="false" customHeight="false" outlineLevel="0" collapsed="false">
      <c r="A4" s="3" t="s">
        <v>137</v>
      </c>
      <c r="B4" s="3" t="s">
        <v>138</v>
      </c>
      <c r="C4" s="3" t="s">
        <v>139</v>
      </c>
    </row>
    <row r="5" customFormat="false" ht="15" hidden="false" customHeight="false" outlineLevel="0" collapsed="false">
      <c r="A5" s="3" t="s">
        <v>140</v>
      </c>
      <c r="B5" s="3" t="s">
        <v>141</v>
      </c>
      <c r="C5" s="3" t="s">
        <v>142</v>
      </c>
    </row>
    <row r="6" customFormat="false" ht="15" hidden="false" customHeight="false" outlineLevel="0" collapsed="false">
      <c r="A6" s="3" t="s">
        <v>143</v>
      </c>
      <c r="B6" s="3" t="s">
        <v>144</v>
      </c>
      <c r="C6" s="3" t="s">
        <v>145</v>
      </c>
    </row>
    <row r="7" customFormat="false" ht="15" hidden="false" customHeight="false" outlineLevel="0" collapsed="false">
      <c r="A7" s="3" t="s">
        <v>146</v>
      </c>
      <c r="B7" s="3" t="s">
        <v>147</v>
      </c>
      <c r="C7" s="3" t="s">
        <v>148</v>
      </c>
    </row>
    <row r="8" customFormat="false" ht="15" hidden="false" customHeight="false" outlineLevel="0" collapsed="false">
      <c r="A8" s="3" t="s">
        <v>149</v>
      </c>
      <c r="B8" s="3" t="s">
        <v>150</v>
      </c>
      <c r="C8" s="3" t="s">
        <v>151</v>
      </c>
    </row>
    <row r="9" customFormat="false" ht="15" hidden="false" customHeight="false" outlineLevel="0" collapsed="false">
      <c r="A9" s="3" t="s">
        <v>152</v>
      </c>
      <c r="B9" s="3" t="s">
        <v>153</v>
      </c>
      <c r="C9" s="3" t="s">
        <v>154</v>
      </c>
    </row>
    <row r="10" customFormat="false" ht="15" hidden="false" customHeight="false" outlineLevel="0" collapsed="false">
      <c r="A10" s="3" t="s">
        <v>155</v>
      </c>
      <c r="B10" s="3" t="s">
        <v>156</v>
      </c>
      <c r="C10" s="3" t="s">
        <v>157</v>
      </c>
    </row>
    <row r="12" customFormat="false" ht="15" hidden="false" customHeight="false" outlineLevel="0" collapsed="false">
      <c r="A12" s="26" t="s">
        <v>158</v>
      </c>
      <c r="B12" s="26"/>
      <c r="C12" s="26"/>
    </row>
    <row r="13" customFormat="false" ht="15" hidden="false" customHeight="false" outlineLevel="0" collapsed="false">
      <c r="A13" s="3" t="s">
        <v>159</v>
      </c>
      <c r="B13" s="3" t="s">
        <v>160</v>
      </c>
      <c r="C13" s="3" t="s">
        <v>161</v>
      </c>
    </row>
    <row r="14" customFormat="false" ht="15" hidden="false" customHeight="false" outlineLevel="0" collapsed="false">
      <c r="A14" s="3" t="s">
        <v>162</v>
      </c>
      <c r="B14" s="3" t="s">
        <v>163</v>
      </c>
      <c r="C14" s="3" t="s">
        <v>164</v>
      </c>
    </row>
    <row r="15" customFormat="false" ht="15" hidden="false" customHeight="false" outlineLevel="0" collapsed="false">
      <c r="A15" s="3" t="s">
        <v>165</v>
      </c>
      <c r="B15" s="3" t="s">
        <v>166</v>
      </c>
      <c r="C15" s="3" t="s">
        <v>167</v>
      </c>
    </row>
    <row r="17" customFormat="false" ht="15" hidden="false" customHeight="false" outlineLevel="0" collapsed="false">
      <c r="A17" s="26" t="s">
        <v>168</v>
      </c>
      <c r="B17" s="26"/>
      <c r="C17" s="26"/>
    </row>
    <row r="18" customFormat="false" ht="15" hidden="false" customHeight="false" outlineLevel="0" collapsed="false">
      <c r="A18" s="3" t="s">
        <v>169</v>
      </c>
      <c r="B18" s="3" t="s">
        <v>170</v>
      </c>
      <c r="C18" s="3" t="s">
        <v>171</v>
      </c>
    </row>
    <row r="19" customFormat="false" ht="15" hidden="false" customHeight="false" outlineLevel="0" collapsed="false">
      <c r="A19" s="3" t="s">
        <v>172</v>
      </c>
      <c r="B19" s="3" t="s">
        <v>173</v>
      </c>
      <c r="C19" s="3" t="s">
        <v>174</v>
      </c>
    </row>
    <row r="20" customFormat="false" ht="15" hidden="false" customHeight="false" outlineLevel="0" collapsed="false">
      <c r="A20" s="3" t="s">
        <v>175</v>
      </c>
      <c r="B20" s="3" t="s">
        <v>176</v>
      </c>
      <c r="C20" s="3" t="s">
        <v>177</v>
      </c>
    </row>
    <row r="21" customFormat="false" ht="15" hidden="false" customHeight="false" outlineLevel="0" collapsed="false">
      <c r="A21" s="3" t="s">
        <v>178</v>
      </c>
      <c r="B21" s="3" t="s">
        <v>179</v>
      </c>
      <c r="C21" s="3" t="s">
        <v>180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30"/>
  </cols>
  <sheetData>
    <row r="1" customFormat="false" ht="17.35" hidden="false" customHeight="false" outlineLevel="0" collapsed="false">
      <c r="A1" s="1" t="s">
        <v>181</v>
      </c>
      <c r="B1" s="1"/>
      <c r="C1" s="1"/>
      <c r="D1" s="1"/>
    </row>
    <row r="3" customFormat="false" ht="15" hidden="false" customHeight="false" outlineLevel="0" collapsed="false">
      <c r="A3" s="2" t="s">
        <v>182</v>
      </c>
      <c r="B3" s="2" t="s">
        <v>183</v>
      </c>
      <c r="C3" s="2" t="s">
        <v>184</v>
      </c>
      <c r="D3" s="2" t="s">
        <v>185</v>
      </c>
    </row>
    <row r="4" customFormat="false" ht="15" hidden="false" customHeight="false" outlineLevel="0" collapsed="false">
      <c r="A4" s="3" t="s">
        <v>186</v>
      </c>
      <c r="B4" s="3" t="s">
        <v>187</v>
      </c>
      <c r="C4" s="3" t="s">
        <v>188</v>
      </c>
      <c r="D4" s="3" t="s">
        <v>189</v>
      </c>
    </row>
    <row r="5" customFormat="false" ht="15" hidden="false" customHeight="false" outlineLevel="0" collapsed="false">
      <c r="A5" s="3" t="s">
        <v>190</v>
      </c>
      <c r="B5" s="3" t="s">
        <v>191</v>
      </c>
      <c r="C5" s="3" t="s">
        <v>191</v>
      </c>
      <c r="D5" s="3" t="s">
        <v>192</v>
      </c>
    </row>
    <row r="6" customFormat="false" ht="15" hidden="false" customHeight="false" outlineLevel="0" collapsed="false">
      <c r="A6" s="3" t="s">
        <v>193</v>
      </c>
      <c r="B6" s="3" t="s">
        <v>194</v>
      </c>
      <c r="C6" s="3" t="s">
        <v>194</v>
      </c>
      <c r="D6" s="3" t="s">
        <v>194</v>
      </c>
    </row>
    <row r="7" customFormat="false" ht="15" hidden="false" customHeight="false" outlineLevel="0" collapsed="false">
      <c r="A7" s="3" t="s">
        <v>195</v>
      </c>
      <c r="B7" s="3" t="s">
        <v>196</v>
      </c>
      <c r="C7" s="3" t="s">
        <v>197</v>
      </c>
      <c r="D7" s="3" t="s">
        <v>198</v>
      </c>
    </row>
    <row r="8" customFormat="false" ht="15" hidden="false" customHeight="false" outlineLevel="0" collapsed="false">
      <c r="A8" s="3" t="s">
        <v>199</v>
      </c>
      <c r="B8" s="3" t="s">
        <v>200</v>
      </c>
      <c r="C8" s="3" t="s">
        <v>200</v>
      </c>
      <c r="D8" s="3" t="s">
        <v>201</v>
      </c>
    </row>
    <row r="9" customFormat="false" ht="15" hidden="false" customHeight="false" outlineLevel="0" collapsed="false">
      <c r="A9" s="3" t="s">
        <v>202</v>
      </c>
      <c r="B9" s="3" t="s">
        <v>203</v>
      </c>
      <c r="C9" s="3" t="s">
        <v>203</v>
      </c>
      <c r="D9" s="3" t="s">
        <v>204</v>
      </c>
    </row>
    <row r="10" customFormat="false" ht="15" hidden="false" customHeight="false" outlineLevel="0" collapsed="false">
      <c r="A10" s="3" t="s">
        <v>205</v>
      </c>
      <c r="B10" s="3" t="s">
        <v>203</v>
      </c>
      <c r="C10" s="3" t="s">
        <v>203</v>
      </c>
      <c r="D10" s="3" t="s">
        <v>206</v>
      </c>
    </row>
    <row r="11" customFormat="false" ht="15" hidden="false" customHeight="false" outlineLevel="0" collapsed="false">
      <c r="A11" s="3" t="s">
        <v>207</v>
      </c>
      <c r="B11" s="3" t="s">
        <v>208</v>
      </c>
      <c r="C11" s="3" t="s">
        <v>208</v>
      </c>
      <c r="D11" s="3" t="s">
        <v>209</v>
      </c>
    </row>
    <row r="12" customFormat="false" ht="15" hidden="false" customHeight="false" outlineLevel="0" collapsed="false">
      <c r="A12" s="3" t="s">
        <v>210</v>
      </c>
      <c r="B12" s="3" t="s">
        <v>211</v>
      </c>
      <c r="C12" s="3" t="s">
        <v>212</v>
      </c>
      <c r="D12" s="3" t="s">
        <v>213</v>
      </c>
    </row>
    <row r="13" customFormat="false" ht="15" hidden="false" customHeight="false" outlineLevel="0" collapsed="false">
      <c r="A13" s="3" t="s">
        <v>214</v>
      </c>
      <c r="B13" s="33" t="s">
        <v>215</v>
      </c>
      <c r="C13" s="3" t="s">
        <v>216</v>
      </c>
      <c r="D13" s="3" t="s">
        <v>217</v>
      </c>
    </row>
    <row r="14" customFormat="false" ht="15" hidden="false" customHeight="false" outlineLevel="0" collapsed="false">
      <c r="A14" s="3" t="s">
        <v>218</v>
      </c>
      <c r="B14" s="3" t="s">
        <v>219</v>
      </c>
      <c r="C14" s="3" t="s">
        <v>216</v>
      </c>
      <c r="D14" s="33" t="s">
        <v>220</v>
      </c>
    </row>
    <row r="15" customFormat="false" ht="15" hidden="false" customHeight="false" outlineLevel="0" collapsed="false">
      <c r="A15" s="3" t="s">
        <v>221</v>
      </c>
      <c r="B15" s="3" t="s">
        <v>222</v>
      </c>
      <c r="C15" s="3" t="s">
        <v>216</v>
      </c>
      <c r="D15" s="33" t="s">
        <v>223</v>
      </c>
    </row>
    <row r="16" customFormat="false" ht="15" hidden="false" customHeight="false" outlineLevel="0" collapsed="false">
      <c r="A16" s="3" t="s">
        <v>112</v>
      </c>
      <c r="B16" s="3" t="s">
        <v>224</v>
      </c>
      <c r="C16" s="3" t="s">
        <v>225</v>
      </c>
      <c r="D16" s="3" t="s">
        <v>225</v>
      </c>
    </row>
    <row r="17" customFormat="false" ht="15" hidden="false" customHeight="false" outlineLevel="0" collapsed="false">
      <c r="A17" s="3" t="s">
        <v>226</v>
      </c>
      <c r="B17" s="3" t="s">
        <v>227</v>
      </c>
      <c r="C17" s="3" t="s">
        <v>228</v>
      </c>
      <c r="D17" s="3" t="s">
        <v>229</v>
      </c>
    </row>
    <row r="19" customFormat="false" ht="15" hidden="false" customHeight="false" outlineLevel="0" collapsed="false">
      <c r="A19" s="34" t="s">
        <v>230</v>
      </c>
      <c r="B19" s="34"/>
      <c r="C19" s="34"/>
      <c r="D19" s="34"/>
    </row>
    <row r="21" customFormat="false" ht="15" hidden="false" customHeight="false" outlineLevel="0" collapsed="false">
      <c r="A21" s="2" t="s">
        <v>231</v>
      </c>
      <c r="B21" s="2" t="s">
        <v>232</v>
      </c>
      <c r="C21" s="2" t="s">
        <v>233</v>
      </c>
      <c r="D21" s="2" t="s">
        <v>234</v>
      </c>
    </row>
    <row r="22" customFormat="false" ht="15" hidden="false" customHeight="false" outlineLevel="0" collapsed="false">
      <c r="A22" s="26" t="s">
        <v>235</v>
      </c>
      <c r="B22" s="26"/>
      <c r="C22" s="26"/>
      <c r="D22" s="26"/>
    </row>
    <row r="23" customFormat="false" ht="15" hidden="false" customHeight="false" outlineLevel="0" collapsed="false">
      <c r="A23" s="3" t="s">
        <v>236</v>
      </c>
      <c r="B23" s="35" t="s">
        <v>237</v>
      </c>
      <c r="C23" s="3" t="s">
        <v>238</v>
      </c>
      <c r="D23" s="3" t="s">
        <v>239</v>
      </c>
    </row>
    <row r="24" customFormat="false" ht="15" hidden="false" customHeight="false" outlineLevel="0" collapsed="false">
      <c r="A24" s="3" t="s">
        <v>240</v>
      </c>
      <c r="B24" s="3" t="s">
        <v>241</v>
      </c>
      <c r="C24" s="3" t="s">
        <v>238</v>
      </c>
      <c r="D24" s="3" t="s">
        <v>242</v>
      </c>
    </row>
    <row r="25" customFormat="false" ht="15" hidden="false" customHeight="false" outlineLevel="0" collapsed="false">
      <c r="A25" s="3" t="s">
        <v>243</v>
      </c>
      <c r="B25" s="3" t="s">
        <v>241</v>
      </c>
      <c r="C25" s="3" t="s">
        <v>238</v>
      </c>
      <c r="D25" s="3" t="s">
        <v>244</v>
      </c>
    </row>
    <row r="27" customFormat="false" ht="15" hidden="false" customHeight="false" outlineLevel="0" collapsed="false">
      <c r="A27" s="26" t="s">
        <v>245</v>
      </c>
      <c r="B27" s="26"/>
      <c r="C27" s="26"/>
      <c r="D27" s="26"/>
    </row>
    <row r="28" customFormat="false" ht="15" hidden="false" customHeight="false" outlineLevel="0" collapsed="false">
      <c r="A28" s="3" t="s">
        <v>246</v>
      </c>
      <c r="B28" s="35" t="s">
        <v>237</v>
      </c>
      <c r="C28" s="3" t="s">
        <v>247</v>
      </c>
      <c r="D28" s="3" t="s">
        <v>248</v>
      </c>
    </row>
    <row r="29" customFormat="false" ht="15" hidden="false" customHeight="false" outlineLevel="0" collapsed="false">
      <c r="A29" s="3" t="s">
        <v>249</v>
      </c>
      <c r="B29" s="3" t="s">
        <v>241</v>
      </c>
      <c r="C29" s="3" t="s">
        <v>247</v>
      </c>
      <c r="D29" s="3" t="s">
        <v>250</v>
      </c>
    </row>
    <row r="30" customFormat="false" ht="15" hidden="false" customHeight="false" outlineLevel="0" collapsed="false">
      <c r="A30" s="3" t="s">
        <v>251</v>
      </c>
      <c r="B30" s="35" t="s">
        <v>237</v>
      </c>
      <c r="C30" s="3" t="s">
        <v>252</v>
      </c>
      <c r="D30" s="3" t="s">
        <v>253</v>
      </c>
    </row>
    <row r="32" customFormat="false" ht="15" hidden="false" customHeight="false" outlineLevel="0" collapsed="false">
      <c r="A32" s="26" t="s">
        <v>254</v>
      </c>
      <c r="B32" s="26"/>
      <c r="C32" s="26"/>
      <c r="D32" s="26"/>
    </row>
    <row r="33" customFormat="false" ht="15" hidden="false" customHeight="false" outlineLevel="0" collapsed="false">
      <c r="A33" s="3" t="s">
        <v>255</v>
      </c>
      <c r="B33" s="35" t="s">
        <v>237</v>
      </c>
      <c r="C33" s="3" t="s">
        <v>252</v>
      </c>
      <c r="D33" s="3" t="s">
        <v>256</v>
      </c>
    </row>
    <row r="34" customFormat="false" ht="15" hidden="false" customHeight="false" outlineLevel="0" collapsed="false">
      <c r="A34" s="3" t="s">
        <v>257</v>
      </c>
      <c r="B34" s="35" t="s">
        <v>237</v>
      </c>
      <c r="C34" s="3" t="s">
        <v>252</v>
      </c>
      <c r="D34" s="3" t="s">
        <v>258</v>
      </c>
    </row>
    <row r="35" customFormat="false" ht="15" hidden="false" customHeight="false" outlineLevel="0" collapsed="false">
      <c r="A35" s="3" t="s">
        <v>259</v>
      </c>
      <c r="B35" s="3" t="s">
        <v>241</v>
      </c>
      <c r="C35" s="3" t="s">
        <v>252</v>
      </c>
      <c r="D35" s="3" t="s">
        <v>260</v>
      </c>
    </row>
    <row r="37" customFormat="false" ht="15" hidden="false" customHeight="false" outlineLevel="0" collapsed="false">
      <c r="A37" s="26" t="s">
        <v>261</v>
      </c>
      <c r="B37" s="26"/>
      <c r="C37" s="26"/>
      <c r="D37" s="26"/>
    </row>
    <row r="38" customFormat="false" ht="15" hidden="false" customHeight="false" outlineLevel="0" collapsed="false">
      <c r="A38" s="3" t="s">
        <v>262</v>
      </c>
      <c r="B38" s="35" t="s">
        <v>237</v>
      </c>
      <c r="C38" s="3" t="s">
        <v>252</v>
      </c>
      <c r="D38" s="3" t="s">
        <v>263</v>
      </c>
    </row>
    <row r="39" customFormat="false" ht="15" hidden="false" customHeight="false" outlineLevel="0" collapsed="false">
      <c r="A39" s="3" t="s">
        <v>264</v>
      </c>
      <c r="B39" s="35" t="s">
        <v>237</v>
      </c>
      <c r="C39" s="3" t="s">
        <v>265</v>
      </c>
      <c r="D39" s="3" t="s">
        <v>266</v>
      </c>
    </row>
    <row r="40" customFormat="false" ht="15" hidden="false" customHeight="false" outlineLevel="0" collapsed="false">
      <c r="A40" s="3" t="s">
        <v>267</v>
      </c>
      <c r="B40" s="3" t="s">
        <v>241</v>
      </c>
      <c r="C40" s="3" t="s">
        <v>252</v>
      </c>
      <c r="D40" s="3" t="s">
        <v>268</v>
      </c>
    </row>
    <row r="42" customFormat="false" ht="15" hidden="false" customHeight="false" outlineLevel="0" collapsed="false">
      <c r="A42" s="26" t="s">
        <v>269</v>
      </c>
      <c r="B42" s="26"/>
      <c r="C42" s="26"/>
      <c r="D42" s="26"/>
    </row>
    <row r="43" customFormat="false" ht="15" hidden="false" customHeight="false" outlineLevel="0" collapsed="false">
      <c r="A43" s="3" t="s">
        <v>270</v>
      </c>
      <c r="B43" s="35" t="s">
        <v>237</v>
      </c>
      <c r="C43" s="3" t="s">
        <v>271</v>
      </c>
      <c r="D43" s="3" t="s">
        <v>272</v>
      </c>
    </row>
    <row r="44" customFormat="false" ht="15" hidden="false" customHeight="false" outlineLevel="0" collapsed="false">
      <c r="A44" s="3" t="s">
        <v>273</v>
      </c>
      <c r="B44" s="36" t="s">
        <v>274</v>
      </c>
      <c r="C44" s="3" t="s">
        <v>252</v>
      </c>
      <c r="D44" s="3" t="s">
        <v>275</v>
      </c>
    </row>
    <row r="45" customFormat="false" ht="15" hidden="false" customHeight="false" outlineLevel="0" collapsed="false">
      <c r="A45" s="3" t="s">
        <v>276</v>
      </c>
      <c r="B45" s="3" t="s">
        <v>241</v>
      </c>
      <c r="C45" s="3" t="s">
        <v>277</v>
      </c>
      <c r="D45" s="3" t="s">
        <v>278</v>
      </c>
    </row>
    <row r="46" customFormat="false" ht="15" hidden="false" customHeight="false" outlineLevel="0" collapsed="false">
      <c r="A46" s="3" t="s">
        <v>279</v>
      </c>
      <c r="B46" s="3" t="s">
        <v>241</v>
      </c>
      <c r="C46" s="3" t="s">
        <v>252</v>
      </c>
      <c r="D46" s="3" t="s">
        <v>280</v>
      </c>
    </row>
    <row r="48" customFormat="false" ht="15" hidden="false" customHeight="false" outlineLevel="0" collapsed="false">
      <c r="A48" s="37" t="s">
        <v>281</v>
      </c>
      <c r="B48" s="37"/>
      <c r="C48" s="37"/>
      <c r="D48" s="37"/>
    </row>
  </sheetData>
  <mergeCells count="3">
    <mergeCell ref="A1:D1"/>
    <mergeCell ref="A19:D19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2026-02-11T06:51:25Z</dcterms:created>
  <dc:creator>openpyxl</dc:creator>
  <dc:description/>
  <dc:language>en-US</dc:language>
  <cp:lastModifiedBy/>
  <dcterms:modified xsi:type="dcterms:W3CDTF">2026-02-11T06:51:25Z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